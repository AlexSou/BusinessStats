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05" windowWidth="21075" windowHeight="952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2" i="1" a="1"/>
  <c r="F2" s="1"/>
  <c r="E2" a="1"/>
  <c r="E2" s="1"/>
  <c r="D2"/>
  <c r="B7"/>
  <c r="F3" l="1"/>
  <c r="E3"/>
</calcChain>
</file>

<file path=xl/sharedStrings.xml><?xml version="1.0" encoding="utf-8"?>
<sst xmlns="http://schemas.openxmlformats.org/spreadsheetml/2006/main" count="11" uniqueCount="11">
  <si>
    <t>S</t>
  </si>
  <si>
    <t>Sigma</t>
  </si>
  <si>
    <t>DivRate</t>
  </si>
  <si>
    <t>IntRate</t>
  </si>
  <si>
    <t>T</t>
  </si>
  <si>
    <t>Strike</t>
  </si>
  <si>
    <t>Lambda</t>
  </si>
  <si>
    <t>Step</t>
  </si>
  <si>
    <t>BS</t>
  </si>
  <si>
    <t>Binomial</t>
  </si>
  <si>
    <t>Trinomial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</si>
</sst>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8"/>
  <sheetViews>
    <sheetView tabSelected="1" workbookViewId="0">
      <selection activeCell="F14" sqref="F14"/>
    </sheetView>
  </sheetViews>
  <sheetFormatPr defaultRowHeight="15"/>
  <cols>
    <col min="4" max="4" width="17.85546875" customWidth="1"/>
    <col min="5" max="5" width="25.42578125" customWidth="1"/>
    <col min="6" max="6" width="18.140625" customWidth="1"/>
  </cols>
  <sheetData>
    <row r="1" spans="1:6">
      <c r="A1" t="s">
        <v>0</v>
      </c>
      <c r="B1">
        <v>100</v>
      </c>
      <c r="D1" s="1" t="s">
        <v>8</v>
      </c>
      <c r="E1" s="1" t="s">
        <v>9</v>
      </c>
      <c r="F1" s="1" t="s">
        <v>10</v>
      </c>
    </row>
    <row r="2" spans="1:6">
      <c r="A2" t="s">
        <v>1</v>
      </c>
      <c r="B2">
        <v>0.6</v>
      </c>
      <c r="D2">
        <f>_xll.bs_call(B1,B2,B3,B4,B5,B6)</f>
        <v>41.440923568630055</v>
      </c>
      <c r="E2">
        <f t="array" ref="E2:E3">_xll.binomial_call(B1,B2,B3,B4,B5,B6,B8)</f>
        <v>41.406685611311381</v>
      </c>
      <c r="F2">
        <f t="array" ref="F2:F3">_xll.trinomial_call(B1,B2,B3,B4,B5,B6,B7,B8)</f>
        <v>41.405858427954286</v>
      </c>
    </row>
    <row r="3" spans="1:6">
      <c r="A3" t="s">
        <v>2</v>
      </c>
      <c r="B3">
        <v>0.01</v>
      </c>
      <c r="E3">
        <v>0</v>
      </c>
      <c r="F3">
        <v>0</v>
      </c>
    </row>
    <row r="4" spans="1:6">
      <c r="A4" t="s">
        <v>3</v>
      </c>
      <c r="B4">
        <v>0.05</v>
      </c>
    </row>
    <row r="5" spans="1:6">
      <c r="A5" t="s">
        <v>4</v>
      </c>
      <c r="B5">
        <v>3</v>
      </c>
    </row>
    <row r="6" spans="1:6">
      <c r="A6" t="s">
        <v>5</v>
      </c>
      <c r="B6">
        <v>102</v>
      </c>
    </row>
    <row r="7" spans="1:6">
      <c r="A7" t="s">
        <v>6</v>
      </c>
      <c r="B7">
        <f>SQRT(3/2)</f>
        <v>1.2247448713915889</v>
      </c>
    </row>
    <row r="8" spans="1:6">
      <c r="A8" t="s">
        <v>7</v>
      </c>
      <c r="B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</dc:creator>
  <cp:lastModifiedBy>ale</cp:lastModifiedBy>
  <dcterms:created xsi:type="dcterms:W3CDTF">2012-04-03T04:29:04Z</dcterms:created>
  <dcterms:modified xsi:type="dcterms:W3CDTF">2012-04-03T06:36:04Z</dcterms:modified>
</cp:coreProperties>
</file>